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mganesh\Downloads\portal\"/>
    </mc:Choice>
  </mc:AlternateContent>
  <xr:revisionPtr revIDLastSave="0" documentId="8_{69847C60-BBD7-4348-8C69-FC15760341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G14" i="1" l="1"/>
  <c r="I14" i="1" s="1"/>
  <c r="G13" i="1"/>
  <c r="I13" i="1" s="1"/>
  <c r="G12" i="1"/>
  <c r="I12" i="1" s="1"/>
  <c r="G11" i="1"/>
  <c r="F11" i="1"/>
  <c r="I11" i="1" s="1"/>
  <c r="G10" i="1"/>
  <c r="I10" i="1" s="1"/>
  <c r="G9" i="1"/>
  <c r="I9" i="1" s="1"/>
  <c r="G8" i="1"/>
  <c r="I8" i="1" s="1"/>
  <c r="I7" i="1"/>
</calcChain>
</file>

<file path=xl/sharedStrings.xml><?xml version="1.0" encoding="utf-8"?>
<sst xmlns="http://schemas.openxmlformats.org/spreadsheetml/2006/main" count="34" uniqueCount="27">
  <si>
    <t>ஸ்ரீ ராமலட்சுமி அம்மன் திருக்கோவில் ஆறுமுகநேரி</t>
  </si>
  <si>
    <t>வரி (வரவு/ பற்று) இருப்பு 31.07.2025 அன்று படி</t>
  </si>
  <si>
    <t>வ. எண்</t>
  </si>
  <si>
    <t>உறுப்பினர் பெயர்</t>
  </si>
  <si>
    <t>உ. எண்</t>
  </si>
  <si>
    <t>வரி</t>
  </si>
  <si>
    <t>ஊர்</t>
  </si>
  <si>
    <t>மு.இருப்பு</t>
  </si>
  <si>
    <t>வரி பற்று</t>
  </si>
  <si>
    <t>வரி வரவு</t>
  </si>
  <si>
    <t>இருப்பு</t>
  </si>
  <si>
    <t>பே. சோ. ரா. வா. தூ. ராமசாமி</t>
  </si>
  <si>
    <t>சென்னை</t>
  </si>
  <si>
    <t>பே. சோ. ரா. வ. கி. ரா. சத்தியமூர்த்தி</t>
  </si>
  <si>
    <t>6(275) (563)</t>
  </si>
  <si>
    <t>பே. சோ. ரா. வ. கி. ரா.முருகானந்தம்</t>
  </si>
  <si>
    <t>6(276) 600)</t>
  </si>
  <si>
    <t>பே. சோ. ரா. வ. கி. ரா.விஜயவெங்கடேஷ்</t>
  </si>
  <si>
    <t>6(277) (565)</t>
  </si>
  <si>
    <t>பே. சோ. ரா. வ. கி. லெ. சீனிவாச தனுஷ் கோடி</t>
  </si>
  <si>
    <t>7(397)</t>
  </si>
  <si>
    <t>பே. சோ. ரா. வ. கி. லெ.காமராஜ்</t>
  </si>
  <si>
    <t>7(476)</t>
  </si>
  <si>
    <t>பே. சோ. ரா. வ. கி. பா.தங்கராஜ்</t>
  </si>
  <si>
    <t>8(398)</t>
  </si>
  <si>
    <t>பே. சோ. ரா. வ. கி. நடராஜன்</t>
  </si>
  <si>
    <t>9(355)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</si>
</sst>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/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3" fillId="0" borderId="3" xfId="0" applyFont="1" applyBorder="1"/>
    <xf numFmtId="0" fontId="4" fillId="0" borderId="3" xfId="0" applyFont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4" fillId="2" borderId="3" xfId="0" applyFont="1" applyFill="1" applyBorder="1" applyAlignment="1">
      <alignment horizontal="right" wrapText="1"/>
    </xf>
    <xf numFmtId="1" fontId="1" fillId="2" borderId="3" xfId="0" applyNumberFormat="1" applyFont="1" applyFill="1" applyBorder="1" applyAlignment="1">
      <alignment horizontal="right" wrapText="1"/>
    </xf>
    <xf numFmtId="0" fontId="1" fillId="2" borderId="3" xfId="0" applyFont="1" applyFill="1" applyBorder="1" applyAlignment="1">
      <alignment horizontal="right" wrapText="1"/>
    </xf>
    <xf numFmtId="0" fontId="5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A2" sqref="A2"/>
    </sheetView>
  </sheetViews>
  <sheetFormatPr defaultRowHeight="14.4" x14ac:dyDescent="0.3"/>
  <sheetData>
    <row r="1" spans="1:11" ht="15" thickBot="1" x14ac:dyDescent="0.35"/>
    <row r="2" spans="1:11" ht="16.2" thickBot="1" x14ac:dyDescent="0.35">
      <c r="A2" s="1"/>
      <c r="B2" s="2" t="s">
        <v>0</v>
      </c>
      <c r="C2" s="3"/>
      <c r="D2" s="3"/>
      <c r="E2" s="4"/>
      <c r="F2" s="4"/>
      <c r="G2" s="4"/>
      <c r="H2" s="4"/>
      <c r="I2" s="4"/>
      <c r="J2" s="4"/>
      <c r="K2" s="4"/>
    </row>
    <row r="3" spans="1:11" ht="15" thickBot="1" x14ac:dyDescent="0.35">
      <c r="A3" s="4"/>
      <c r="B3" s="4"/>
      <c r="C3" s="3"/>
      <c r="D3" s="3"/>
      <c r="E3" s="4"/>
      <c r="F3" s="4"/>
      <c r="G3" s="4"/>
      <c r="H3" s="4"/>
      <c r="I3" s="4"/>
      <c r="J3" s="4"/>
      <c r="K3" s="4"/>
    </row>
    <row r="4" spans="1:11" ht="15" thickBot="1" x14ac:dyDescent="0.35">
      <c r="A4" s="4"/>
      <c r="B4" s="5" t="s">
        <v>1</v>
      </c>
      <c r="C4" s="3"/>
      <c r="D4" s="3"/>
      <c r="E4" s="4"/>
      <c r="F4" s="4"/>
      <c r="G4" s="4"/>
      <c r="H4" s="4"/>
      <c r="I4" s="4"/>
      <c r="J4" s="4"/>
      <c r="K4" s="4"/>
    </row>
    <row r="5" spans="1:11" ht="15" thickBot="1" x14ac:dyDescent="0.35">
      <c r="A5" s="4"/>
      <c r="B5" s="4"/>
      <c r="C5" s="3"/>
      <c r="D5" s="3"/>
      <c r="E5" s="4"/>
      <c r="F5" s="4"/>
      <c r="G5" s="4"/>
      <c r="H5" s="4"/>
      <c r="I5" s="4"/>
      <c r="J5" s="4"/>
      <c r="K5" s="4"/>
    </row>
    <row r="6" spans="1:11" ht="40.799999999999997" thickBot="1" x14ac:dyDescent="0.35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4"/>
      <c r="K6" s="4"/>
    </row>
    <row r="7" spans="1:11" ht="93.6" thickBot="1" x14ac:dyDescent="0.35">
      <c r="A7" s="7">
        <v>1</v>
      </c>
      <c r="B7" s="8" t="s">
        <v>11</v>
      </c>
      <c r="C7" s="7">
        <v>5</v>
      </c>
      <c r="D7" s="9">
        <v>0</v>
      </c>
      <c r="E7" s="8" t="s">
        <v>12</v>
      </c>
      <c r="F7" s="8">
        <v>4500</v>
      </c>
      <c r="G7" s="8">
        <v>0</v>
      </c>
      <c r="H7" s="10">
        <v>0</v>
      </c>
      <c r="I7" s="11">
        <f>F7</f>
        <v>4500</v>
      </c>
      <c r="J7" s="10"/>
      <c r="K7" s="10"/>
    </row>
    <row r="8" spans="1:11" ht="80.400000000000006" thickBot="1" x14ac:dyDescent="0.35">
      <c r="A8" s="7">
        <v>2</v>
      </c>
      <c r="B8" s="10" t="s">
        <v>13</v>
      </c>
      <c r="C8" s="9" t="s">
        <v>14</v>
      </c>
      <c r="D8" s="9">
        <v>1</v>
      </c>
      <c r="E8" s="10" t="s">
        <v>12</v>
      </c>
      <c r="F8" s="10">
        <v>2000</v>
      </c>
      <c r="G8" s="10">
        <f>D8*1500</f>
        <v>1500</v>
      </c>
      <c r="H8" s="10">
        <v>1500</v>
      </c>
      <c r="I8" s="11">
        <f>F8+G8-H8</f>
        <v>2000</v>
      </c>
      <c r="J8" s="12">
        <v>919444354895</v>
      </c>
      <c r="K8" s="12">
        <v>919444354895</v>
      </c>
    </row>
    <row r="9" spans="1:11" ht="93.6" thickBot="1" x14ac:dyDescent="0.35">
      <c r="A9" s="7">
        <v>3</v>
      </c>
      <c r="B9" s="10" t="s">
        <v>15</v>
      </c>
      <c r="C9" s="9" t="s">
        <v>16</v>
      </c>
      <c r="D9" s="9">
        <v>2</v>
      </c>
      <c r="E9" s="10" t="s">
        <v>12</v>
      </c>
      <c r="F9" s="10">
        <v>3000</v>
      </c>
      <c r="G9" s="10">
        <f>D9*1500</f>
        <v>3000</v>
      </c>
      <c r="H9" s="10">
        <v>6000</v>
      </c>
      <c r="I9" s="11">
        <f t="shared" ref="I9:I14" si="0">F9+G9-H9</f>
        <v>0</v>
      </c>
      <c r="J9" s="12">
        <v>919841344883</v>
      </c>
      <c r="K9" s="12">
        <v>919841344883</v>
      </c>
    </row>
    <row r="10" spans="1:11" ht="93.6" thickBot="1" x14ac:dyDescent="0.35">
      <c r="A10" s="7">
        <v>4</v>
      </c>
      <c r="B10" s="10" t="s">
        <v>17</v>
      </c>
      <c r="C10" s="9" t="s">
        <v>18</v>
      </c>
      <c r="D10" s="9">
        <v>2</v>
      </c>
      <c r="E10" s="10" t="s">
        <v>12</v>
      </c>
      <c r="F10" s="10">
        <v>4000</v>
      </c>
      <c r="G10" s="10">
        <f t="shared" ref="G10:G14" si="1">D10*1500</f>
        <v>3000</v>
      </c>
      <c r="H10" s="10">
        <v>3000</v>
      </c>
      <c r="I10" s="11">
        <f t="shared" si="0"/>
        <v>4000</v>
      </c>
      <c r="J10" s="12">
        <v>919884725219</v>
      </c>
      <c r="K10" s="12">
        <v>919884725219</v>
      </c>
    </row>
    <row r="11" spans="1:11" ht="106.8" thickBot="1" x14ac:dyDescent="0.35">
      <c r="A11" s="7">
        <v>5</v>
      </c>
      <c r="B11" s="10" t="s">
        <v>19</v>
      </c>
      <c r="C11" s="9" t="s">
        <v>20</v>
      </c>
      <c r="D11" s="9">
        <v>1.5</v>
      </c>
      <c r="E11" s="10" t="s">
        <v>12</v>
      </c>
      <c r="F11" s="10">
        <f>3000-1501</f>
        <v>1499</v>
      </c>
      <c r="G11" s="10">
        <f t="shared" si="1"/>
        <v>2250</v>
      </c>
      <c r="H11" s="13">
        <v>2250</v>
      </c>
      <c r="I11" s="11">
        <f t="shared" si="0"/>
        <v>1499</v>
      </c>
      <c r="J11" s="12">
        <v>919841058088</v>
      </c>
      <c r="K11" s="12">
        <v>919841058088</v>
      </c>
    </row>
    <row r="12" spans="1:11" ht="80.400000000000006" thickBot="1" x14ac:dyDescent="0.35">
      <c r="A12" s="7">
        <v>6</v>
      </c>
      <c r="B12" s="14" t="s">
        <v>21</v>
      </c>
      <c r="C12" s="9" t="s">
        <v>22</v>
      </c>
      <c r="D12" s="9">
        <v>1.5</v>
      </c>
      <c r="E12" s="10" t="s">
        <v>12</v>
      </c>
      <c r="F12" s="10">
        <v>0</v>
      </c>
      <c r="G12" s="10">
        <f t="shared" si="1"/>
        <v>2250</v>
      </c>
      <c r="H12" s="10">
        <v>2250</v>
      </c>
      <c r="I12" s="11">
        <f t="shared" si="0"/>
        <v>0</v>
      </c>
      <c r="J12" s="12">
        <v>919841042034</v>
      </c>
      <c r="K12" s="12">
        <v>919841042034</v>
      </c>
    </row>
    <row r="13" spans="1:11" ht="80.400000000000006" thickBot="1" x14ac:dyDescent="0.35">
      <c r="A13" s="7">
        <v>7</v>
      </c>
      <c r="B13" s="10" t="s">
        <v>23</v>
      </c>
      <c r="C13" s="9" t="s">
        <v>24</v>
      </c>
      <c r="D13" s="9">
        <v>2.5</v>
      </c>
      <c r="E13" s="10" t="s">
        <v>12</v>
      </c>
      <c r="F13" s="10">
        <v>5000</v>
      </c>
      <c r="G13" s="10">
        <f t="shared" si="1"/>
        <v>3750</v>
      </c>
      <c r="H13" s="10">
        <v>3750</v>
      </c>
      <c r="I13" s="11">
        <f t="shared" si="0"/>
        <v>5000</v>
      </c>
      <c r="J13" s="12">
        <v>919940266469</v>
      </c>
      <c r="K13" s="12">
        <v>919940266469</v>
      </c>
    </row>
    <row r="14" spans="1:11" ht="80.400000000000006" thickBot="1" x14ac:dyDescent="0.35">
      <c r="A14" s="7">
        <v>8</v>
      </c>
      <c r="B14" s="10" t="s">
        <v>25</v>
      </c>
      <c r="C14" s="9" t="s">
        <v>26</v>
      </c>
      <c r="D14" s="9">
        <v>4</v>
      </c>
      <c r="E14" s="10" t="s">
        <v>12</v>
      </c>
      <c r="F14" s="10">
        <v>8000</v>
      </c>
      <c r="G14" s="10">
        <f t="shared" si="1"/>
        <v>6000</v>
      </c>
      <c r="H14" s="10">
        <v>6000</v>
      </c>
      <c r="I14" s="11">
        <f t="shared" si="0"/>
        <v>8000</v>
      </c>
      <c r="J14" s="12">
        <v>919840040245</v>
      </c>
      <c r="K14" s="12">
        <v>919840040245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sham ganesh</cp:lastModifiedBy>
  <dcterms:created xsi:type="dcterms:W3CDTF">2026-05-24T17:20:27Z</dcterms:created>
  <dcterms:modified xsi:type="dcterms:W3CDTF">2026-06-07T07:01:49Z</dcterms:modified>
</cp:coreProperties>
</file>